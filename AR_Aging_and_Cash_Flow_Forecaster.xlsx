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ish\Downloads\"/>
    </mc:Choice>
  </mc:AlternateContent>
  <xr:revisionPtr revIDLastSave="0" documentId="8_{501DF364-DB2A-40EF-BBE6-37A2451FD213}" xr6:coauthVersionLast="47" xr6:coauthVersionMax="47" xr10:uidLastSave="{00000000-0000-0000-0000-000000000000}"/>
  <bookViews>
    <workbookView xWindow="-108" yWindow="-108" windowWidth="23256" windowHeight="13176" xr2:uid="{AE65BA88-2893-4A73-B100-C0ED534C6BDB}"/>
  </bookViews>
  <sheets>
    <sheet name="AR_Invoice_Master" sheetId="1" r:id="rId1"/>
    <sheet name="Aging_Analysis" sheetId="2" r:id="rId2"/>
    <sheet name="Cash_Flow_Forecaster" sheetId="3" r:id="rId3"/>
    <sheet name="Documentation_Setup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1" i="3" l="1"/>
  <c r="C12" i="3"/>
  <c r="C13" i="3"/>
  <c r="C14" i="3"/>
  <c r="C15" i="3"/>
  <c r="B11" i="3"/>
  <c r="B12" i="3"/>
  <c r="B13" i="3"/>
  <c r="B14" i="3"/>
  <c r="B15" i="3"/>
  <c r="A11" i="3"/>
  <c r="A12" i="3"/>
  <c r="A13" i="3"/>
  <c r="A14" i="3"/>
  <c r="A15" i="3"/>
  <c r="C10" i="3"/>
  <c r="B10" i="3"/>
  <c r="A10" i="3"/>
  <c r="E7" i="2"/>
  <c r="E8" i="2"/>
  <c r="F8" i="2" s="1" a="1"/>
  <c r="D12" i="3" s="1"/>
  <c r="E12" i="3" s="1"/>
  <c r="F12" i="3" s="1"/>
  <c r="E9" i="2"/>
  <c r="F9" i="2" s="1" a="1"/>
  <c r="D13" i="3" s="1"/>
  <c r="E13" i="3" s="1"/>
  <c r="F13" i="3" s="1"/>
  <c r="E10" i="2"/>
  <c r="F10" i="2" s="1" a="1"/>
  <c r="D14" i="3" s="1"/>
  <c r="E14" i="3" s="1"/>
  <c r="F14" i="3" s="1"/>
  <c r="E11" i="2"/>
  <c r="F11" i="2" s="1" a="1"/>
  <c r="D15" i="3" s="1"/>
  <c r="E15" i="3" s="1"/>
  <c r="F15" i="3" s="1"/>
  <c r="E6" i="2"/>
  <c r="F6" i="2" s="1" a="1"/>
  <c r="D7" i="2"/>
  <c r="D8" i="2"/>
  <c r="D9" i="2"/>
  <c r="D10" i="2"/>
  <c r="D11" i="2"/>
  <c r="C7" i="2"/>
  <c r="C8" i="2"/>
  <c r="C9" i="2"/>
  <c r="C10" i="2"/>
  <c r="C11" i="2"/>
  <c r="B7" i="2"/>
  <c r="B8" i="2"/>
  <c r="B9" i="2"/>
  <c r="B10" i="2"/>
  <c r="B11" i="2"/>
  <c r="A7" i="2"/>
  <c r="A8" i="2"/>
  <c r="A9" i="2"/>
  <c r="A10" i="2"/>
  <c r="A11" i="2"/>
  <c r="D6" i="2"/>
  <c r="C6" i="2"/>
  <c r="B6" i="2"/>
  <c r="A6" i="2"/>
  <c r="B5" i="4"/>
  <c r="K61" i="3"/>
  <c r="K62" i="3"/>
  <c r="K63" i="3"/>
  <c r="K64" i="3"/>
  <c r="K65" i="3"/>
  <c r="K66" i="3"/>
  <c r="K67" i="3"/>
  <c r="K68" i="3"/>
  <c r="K69" i="3"/>
  <c r="K70" i="3"/>
  <c r="K71" i="3"/>
  <c r="K72" i="3"/>
  <c r="B61" i="3"/>
  <c r="B62" i="3"/>
  <c r="B63" i="3"/>
  <c r="B64" i="3"/>
  <c r="B65" i="3"/>
  <c r="D60" i="3"/>
  <c r="C60" i="3"/>
  <c r="B60" i="3"/>
  <c r="G2" i="1"/>
  <c r="G3" i="1"/>
  <c r="G4" i="1"/>
  <c r="G5" i="1"/>
  <c r="G6" i="1"/>
  <c r="G7" i="1"/>
  <c r="D10" i="3" l="1"/>
  <c r="E10" i="3" s="1"/>
  <c r="B7" i="4"/>
  <c r="F7" i="2" a="1"/>
  <c r="D11" i="3" s="1"/>
  <c r="E11" i="3" s="1"/>
  <c r="E60" i="3"/>
  <c r="F60" i="3" s="1"/>
  <c r="G60" i="3" s="1"/>
  <c r="B6" i="4"/>
  <c r="F11" i="3" l="1"/>
  <c r="F10" i="3"/>
  <c r="B8" i="4"/>
  <c r="K60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<sst xmlns="http://schemas.openxmlformats.org/spreadsheetml/2006/main" count="93" uniqueCount="65">
  <si>
    <t>Invoice_ID</t>
  </si>
  <si>
    <t>Client_Name</t>
  </si>
  <si>
    <t>Invoice_Date</t>
  </si>
  <si>
    <t>Due_Date</t>
  </si>
  <si>
    <t>Invoice_Amount</t>
  </si>
  <si>
    <t>Amount_Paid</t>
  </si>
  <si>
    <t>Balance_Due</t>
  </si>
  <si>
    <t>INV-2026-001</t>
  </si>
  <si>
    <t>Apex Global Consulting</t>
  </si>
  <si>
    <t>INV-2026-002</t>
  </si>
  <si>
    <t>Nexus Tech Solutions</t>
  </si>
  <si>
    <t>INV-2026-003</t>
  </si>
  <si>
    <t>Quantum Logistics</t>
  </si>
  <si>
    <t>INV-2026-004</t>
  </si>
  <si>
    <t>Horizon Healthcare</t>
  </si>
  <si>
    <t>INV-2026-005</t>
  </si>
  <si>
    <t>Stellar Retail Group</t>
  </si>
  <si>
    <t>INV-2026-006</t>
  </si>
  <si>
    <t>AGING BUCKET RISK MATRIX</t>
  </si>
  <si>
    <t>Current (Not Overdue)</t>
  </si>
  <si>
    <t>1–30 Days Overdue</t>
  </si>
  <si>
    <t>31–60 Days Overdue</t>
  </si>
  <si>
    <t>61–90 Days Overdue</t>
  </si>
  <si>
    <t>90+ Days Overdue</t>
  </si>
  <si>
    <t>Aging_Bucket</t>
  </si>
  <si>
    <t>Collection_Prob_%</t>
  </si>
  <si>
    <t>Expected_Cash_Inflow</t>
  </si>
  <si>
    <t>Target_Week</t>
  </si>
  <si>
    <t>Week 1</t>
  </si>
  <si>
    <t>Week 2</t>
  </si>
  <si>
    <t>Week 3</t>
  </si>
  <si>
    <t>Week 4</t>
  </si>
  <si>
    <t>Week 5</t>
  </si>
  <si>
    <t>Week 6</t>
  </si>
  <si>
    <t>Week 7</t>
  </si>
  <si>
    <t>Forecast_Week</t>
  </si>
  <si>
    <t>Week 8</t>
  </si>
  <si>
    <t>Week 9</t>
  </si>
  <si>
    <t>Week 10</t>
  </si>
  <si>
    <t>Week 11</t>
  </si>
  <si>
    <t>Week 12</t>
  </si>
  <si>
    <t>Week 13</t>
  </si>
  <si>
    <t>Total_Expected_Inflow</t>
  </si>
  <si>
    <t>PROJECT 4.2: ACCOUNTS RECEIVABLE AGING LEDGER &amp; CASH FLOW FORECASTER</t>
  </si>
  <si>
    <t>1. System Purpose</t>
  </si>
  <si>
    <t>Tracks open customer invoices, calculates aging risk buckets, computes Days Sales Outstanding (DSO), and projects 13-week probability-weighted cash inflows.</t>
  </si>
  <si>
    <t>2. Key KPI Metric Summaries</t>
  </si>
  <si>
    <t>Total Portfolio Outstanding Balance</t>
  </si>
  <si>
    <t>Total Overdue AR Exposure</t>
  </si>
  <si>
    <t>Portfolio Days Sales Outstanding (DSO)</t>
  </si>
  <si>
    <t>Total Expected Cash Inflow (Probability-Adjusted)</t>
  </si>
  <si>
    <t>3. Core Mathematical Formulas</t>
  </si>
  <si>
    <t>Days Overdue Formula</t>
  </si>
  <si>
    <r>
      <t>Aging Bucket Assignment (</t>
    </r>
    <r>
      <rPr>
        <sz val="10"/>
        <color theme="1"/>
        <rFont val="Arial Unicode MS"/>
      </rPr>
      <t>IFS</t>
    </r>
    <r>
      <rPr>
        <sz val="11"/>
        <color theme="1"/>
        <rFont val="Aptos Narrow"/>
        <family val="2"/>
        <scheme val="minor"/>
      </rPr>
      <t>)</t>
    </r>
  </si>
  <si>
    <t>Expected Inflow Calculation</t>
  </si>
  <si>
    <t>4. Operational Guidelines</t>
  </si>
  <si>
    <r>
      <t xml:space="preserve">Update the </t>
    </r>
    <r>
      <rPr>
        <sz val="10"/>
        <color theme="1"/>
        <rFont val="Arial Unicode MS"/>
      </rPr>
      <t>Evaluation_Date</t>
    </r>
    <r>
      <rPr>
        <sz val="11"/>
        <color theme="1"/>
        <rFont val="Aptos Narrow"/>
        <family val="2"/>
        <scheme val="minor"/>
      </rPr>
      <t xml:space="preserve"> in cell </t>
    </r>
    <r>
      <rPr>
        <sz val="10"/>
        <color theme="1"/>
        <rFont val="Arial Unicode MS"/>
      </rPr>
      <t>B1</t>
    </r>
    <r>
      <rPr>
        <sz val="11"/>
        <color theme="1"/>
        <rFont val="Aptos Narrow"/>
        <family val="2"/>
        <scheme val="minor"/>
      </rPr>
      <t xml:space="preserve"> of </t>
    </r>
    <r>
      <rPr>
        <sz val="10"/>
        <color theme="1"/>
        <rFont val="Arial Unicode MS"/>
      </rPr>
      <t>Aging_Analysis</t>
    </r>
    <r>
      <rPr>
        <sz val="11"/>
        <color theme="1"/>
        <rFont val="Aptos Narrow"/>
        <family val="2"/>
        <scheme val="minor"/>
      </rPr>
      <t xml:space="preserve"> weekly. And Record payments in AR_Invoice_Master under Amount_Paid to auto-adjust aging buckets and cash flow targets.</t>
    </r>
  </si>
  <si>
    <t>=IF(Balance_Due=0, 0, MAX(0, Evaluation_Date - Due_Date))</t>
  </si>
  <si>
    <t>=IFS(Balance=0, "PAID IN FULL", Days=0, "Current", Days&lt;=30, "1–30 Days", Days&lt;=60, "31–60 Days", Days&lt;=90, "61–90 Days", TRUE, "90+ Days")</t>
  </si>
  <si>
    <t>= Balance_Due * Collection_Probability_%</t>
  </si>
  <si>
    <t>Days Overdue</t>
  </si>
  <si>
    <r>
      <t>Total Outstanding Balance</t>
    </r>
    <r>
      <rPr>
        <sz val="11"/>
        <color theme="1"/>
        <rFont val="Aptos Narrow"/>
        <family val="2"/>
        <scheme val="minor"/>
      </rPr>
      <t>:</t>
    </r>
    <r>
      <rPr>
        <b/>
        <sz val="11"/>
        <color theme="1"/>
        <rFont val="Aptos Narrow"/>
        <family val="2"/>
        <scheme val="minor"/>
      </rPr>
      <t xml:space="preserve"> 110000</t>
    </r>
  </si>
  <si>
    <r>
      <t>Total Overdue Balance</t>
    </r>
    <r>
      <rPr>
        <sz val="11"/>
        <color theme="1"/>
        <rFont val="Aptos Narrow"/>
        <family val="2"/>
        <scheme val="minor"/>
      </rPr>
      <t>:</t>
    </r>
    <r>
      <rPr>
        <b/>
        <sz val="11"/>
        <color theme="1"/>
        <rFont val="Aptos Narrow"/>
        <family val="2"/>
        <scheme val="minor"/>
      </rPr>
      <t xml:space="preserve"> 97500</t>
    </r>
  </si>
  <si>
    <r>
      <t>Average Days Sales Outstanding (DSO)</t>
    </r>
    <r>
      <rPr>
        <sz val="11"/>
        <color theme="1"/>
        <rFont val="Aptos Narrow"/>
        <family val="2"/>
        <scheme val="minor"/>
      </rPr>
      <t>:</t>
    </r>
    <r>
      <rPr>
        <b/>
        <sz val="11"/>
        <color theme="1"/>
        <rFont val="Aptos Narrow"/>
        <family val="2"/>
        <scheme val="minor"/>
      </rPr>
      <t xml:space="preserve"> 34.6</t>
    </r>
  </si>
  <si>
    <t>PROJECT 4.2: AR AGING ANALYSIS LEDGER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</si>
</sst>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sz val="11"/>
      <color theme="1"/>
      <name val="Arial"/>
      <family val="2"/>
    </font>
    <font>
      <sz val="10"/>
      <color theme="1"/>
      <name val="Google Sans Text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  <xf numFmtId="0" fontId="0" fillId="0" borderId="0" xfId="0" applyAlignment="1">
      <alignment horizontal="center" wrapText="1"/>
    </xf>
    <xf numFmtId="10" fontId="0" fillId="0" borderId="0" xfId="0" applyNumberFormat="1"/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quotePrefix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left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14" fontId="4" fillId="0" borderId="1" xfId="0" applyNumberFormat="1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6">
    <dxf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</dxf>
    <dxf>
      <border outline="0">
        <bottom style="medium">
          <color rgb="FFC4C7C5"/>
        </bottom>
      </border>
    </dxf>
    <dxf>
      <numFmt numFmtId="14" formatCode="0.00%"/>
      <alignment horizontal="left" vertical="bottom" textRotation="0" wrapText="0" indent="0" justifyLastLine="0" shrinkToFit="0" readingOrder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2A9A103-8D27-4B41-9C4A-F046FDD141A5}" name="Table3" displayName="Table3" ref="A1:G7" totalsRowShown="0" tableBorderDxfId="3">
  <autoFilter ref="A1:G7" xr:uid="{62A9A103-8D27-4B41-9C4A-F046FDD141A5}"/>
  <tableColumns count="7">
    <tableColumn id="1" xr3:uid="{6503B96D-5F3F-4B09-9D99-2BBBEF89AFDD}" name="Invoice_ID" dataDxfId="2"/>
    <tableColumn id="2" xr3:uid="{C9ABCD2B-5DFC-4D27-9C83-0D215932BED0}" name="Client_Name"/>
    <tableColumn id="3" xr3:uid="{BC378FEA-A8CE-4214-B457-6FD3D5AFC112}" name="Invoice_Date" dataDxfId="1"/>
    <tableColumn id="4" xr3:uid="{3C4E3E94-C6E5-4E87-9753-73290FE07535}" name="Due_Date" dataDxfId="0"/>
    <tableColumn id="5" xr3:uid="{2FE426E8-5BDF-4102-A1ED-91065C94DC2A}" name="Invoice_Amount"/>
    <tableColumn id="6" xr3:uid="{564A4BE4-FBB8-4ECD-9153-DE2F417FD779}" name="Amount_Paid"/>
    <tableColumn id="7" xr3:uid="{F86E0CB6-9B9D-4E39-94F2-28DE507C119B}" name="Balance_Due">
      <calculatedColumnFormula>E2-F2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44E8AC-8518-4BCE-BAB0-3AC646C6BAA3}" name="Table1" displayName="Table1" ref="A5:F11" totalsRowShown="0">
  <autoFilter ref="A5:F11" xr:uid="{0644E8AC-8518-4BCE-BAB0-3AC646C6BAA3}"/>
  <tableColumns count="6">
    <tableColumn id="1" xr3:uid="{B9080E0E-C9CE-4AED-A37E-964F34D02445}" name="Invoice_ID">
      <calculatedColumnFormula>AR_Invoice_Master!A2</calculatedColumnFormula>
    </tableColumn>
    <tableColumn id="2" xr3:uid="{0C7F626C-4122-4132-9674-A6B02C23DFC2}" name="Client_Name">
      <calculatedColumnFormula>AR_Invoice_Master!B2</calculatedColumnFormula>
    </tableColumn>
    <tableColumn id="3" xr3:uid="{0DB50335-04A7-4581-8BBA-30D4D21B6068}" name="Due_Date" dataDxfId="5">
      <calculatedColumnFormula>AR_Invoice_Master!D2</calculatedColumnFormula>
    </tableColumn>
    <tableColumn id="4" xr3:uid="{E6A2624D-DAFE-4F27-9F60-5A377518E4F3}" name="Balance_Due">
      <calculatedColumnFormula>AR_Invoice_Master!G2</calculatedColumnFormula>
    </tableColumn>
    <tableColumn id="5" xr3:uid="{1D1B80CC-373B-44CD-8880-CD2635926D63}" name="Days Overdue">
      <calculatedColumnFormula>IF(D6=0, 0, MAX(0, TODAY() - C6))</calculatedColumnFormula>
    </tableColumn>
    <tableColumn id="6" xr3:uid="{652D7019-CA20-4517-AF19-509C3BF02686}" name="Aging_Bucket">
      <calculatedColumnFormula array="1">_xlfn.IFS(D6=0, "PAID IN FULL", E6=0, "Current (Not Overdue)", E6&lt;=30, "1–30 Days Overdue", E6&lt;=60, "31–60 Days Overdue", E6&lt;=90, "61–90 Days Overdue", TRUE, "90+ Days Overdue")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B25C27-ABA8-491E-BDE5-ACED1A23BEC9}" name="Table2" displayName="Table2" ref="A9:G15" totalsRowShown="0">
  <autoFilter ref="A9:G15" xr:uid="{14B25C27-ABA8-491E-BDE5-ACED1A23BEC9}"/>
  <tableColumns count="7">
    <tableColumn id="1" xr3:uid="{0EAA5F70-D0A2-4E9C-A07D-FD4A8BA2CC53}" name="Invoice_ID">
      <calculatedColumnFormula>AR_Invoice_Master!A2</calculatedColumnFormula>
    </tableColumn>
    <tableColumn id="2" xr3:uid="{B2E1B892-06CF-47EB-8B8C-236EA1D2246A}" name="Client_Name">
      <calculatedColumnFormula>AR_Invoice_Master!B2</calculatedColumnFormula>
    </tableColumn>
    <tableColumn id="3" xr3:uid="{54164E90-93CF-43FF-B24B-D44572568FC8}" name="Balance_Due">
      <calculatedColumnFormula>AR_Invoice_Master!G2</calculatedColumnFormula>
    </tableColumn>
    <tableColumn id="4" xr3:uid="{C064B2F4-3E9B-48A0-B136-09E38ADC183C}" name="Aging_Bucket">
      <calculatedColumnFormula>Aging_Analysis!F6</calculatedColumnFormula>
    </tableColumn>
    <tableColumn id="5" xr3:uid="{DA688152-4E46-433D-A7A0-6D8DF7027100}" name="Collection_Prob_%" dataDxfId="4">
      <calculatedColumnFormula>IF(D10="PAID IN FULL", 1, _xlfn.XLOOKUP(D10, $A$2:$A$6, $B$2:$B$6, 0))</calculatedColumnFormula>
    </tableColumn>
    <tableColumn id="6" xr3:uid="{4CF8FC8D-E18E-4D30-842A-4DDB3F44D6CD}" name="Expected_Cash_Inflow">
      <calculatedColumnFormula>C10 * E10</calculatedColumnFormula>
    </tableColumn>
    <tableColumn id="7" xr3:uid="{7CF8061B-FAD3-4D11-8B66-61F149687C40}" name="Target_Wee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82539-43F9-486D-9618-953CFA9FBDD3}">
  <dimension ref="A1:G7"/>
  <sheetViews>
    <sheetView tabSelected="1" workbookViewId="0">
      <selection activeCell="I7" sqref="I7"/>
    </sheetView>
  </sheetViews>
  <sheetFormatPr defaultRowHeight="14.4"/>
  <cols>
    <col min="1" max="1" width="12.33203125" bestFit="1" customWidth="1"/>
    <col min="2" max="2" width="22" bestFit="1" customWidth="1"/>
    <col min="3" max="3" width="13.5546875" customWidth="1"/>
    <col min="4" max="4" width="11.33203125" bestFit="1" customWidth="1"/>
    <col min="5" max="5" width="16.109375" customWidth="1"/>
    <col min="6" max="6" width="13.88671875" customWidth="1"/>
    <col min="7" max="7" width="13.5546875" customWidth="1"/>
  </cols>
  <sheetData>
    <row r="1" spans="1:7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2" t="s">
        <v>7</v>
      </c>
      <c r="B2" t="s">
        <v>8</v>
      </c>
      <c r="C2" s="3">
        <v>46218</v>
      </c>
      <c r="D2" s="3">
        <v>46248</v>
      </c>
      <c r="E2">
        <v>15000</v>
      </c>
      <c r="F2">
        <v>15000</v>
      </c>
      <c r="G2">
        <f>E2-F2</f>
        <v>0</v>
      </c>
    </row>
    <row r="3" spans="1:7">
      <c r="A3" s="2" t="s">
        <v>9</v>
      </c>
      <c r="B3" t="s">
        <v>10</v>
      </c>
      <c r="C3" s="3">
        <v>46235</v>
      </c>
      <c r="D3" s="3">
        <v>46265</v>
      </c>
      <c r="E3">
        <v>22000</v>
      </c>
      <c r="F3">
        <v>5000</v>
      </c>
      <c r="G3">
        <f>E3-F3</f>
        <v>17000</v>
      </c>
    </row>
    <row r="4" spans="1:7">
      <c r="A4" s="2" t="s">
        <v>11</v>
      </c>
      <c r="B4" t="s">
        <v>12</v>
      </c>
      <c r="C4" s="3">
        <v>46254</v>
      </c>
      <c r="D4" s="3">
        <v>46284</v>
      </c>
      <c r="E4">
        <v>18500</v>
      </c>
      <c r="F4">
        <v>0</v>
      </c>
      <c r="G4">
        <f>E4-F4</f>
        <v>18500</v>
      </c>
    </row>
    <row r="5" spans="1:7">
      <c r="A5" s="2" t="s">
        <v>13</v>
      </c>
      <c r="B5" t="s">
        <v>14</v>
      </c>
      <c r="C5" s="3">
        <v>46266</v>
      </c>
      <c r="D5" s="3">
        <v>46296</v>
      </c>
      <c r="E5">
        <v>34000</v>
      </c>
      <c r="F5">
        <v>0</v>
      </c>
      <c r="G5">
        <f>E5-F5</f>
        <v>34000</v>
      </c>
    </row>
    <row r="6" spans="1:7" ht="15" thickBot="1">
      <c r="A6" s="2" t="s">
        <v>15</v>
      </c>
      <c r="B6" t="s">
        <v>16</v>
      </c>
      <c r="C6" s="3">
        <v>46280</v>
      </c>
      <c r="D6" s="3">
        <v>46310</v>
      </c>
      <c r="E6">
        <v>12500</v>
      </c>
      <c r="F6">
        <v>0</v>
      </c>
      <c r="G6">
        <f>E6-F6</f>
        <v>12500</v>
      </c>
    </row>
    <row r="7" spans="1:7">
      <c r="A7" s="14" t="s">
        <v>17</v>
      </c>
      <c r="B7" s="15" t="s">
        <v>8</v>
      </c>
      <c r="C7" s="16">
        <v>46152</v>
      </c>
      <c r="D7" s="16">
        <v>46182</v>
      </c>
      <c r="E7" s="17">
        <v>28000</v>
      </c>
      <c r="F7" s="18">
        <v>0</v>
      </c>
      <c r="G7" s="19">
        <f>E7-F7</f>
        <v>28000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EA01F-733A-4899-93AB-47C30ED0F808}">
  <dimension ref="A1:F11"/>
  <sheetViews>
    <sheetView zoomScale="72" workbookViewId="0">
      <selection activeCell="E6" sqref="E6"/>
    </sheetView>
  </sheetViews>
  <sheetFormatPr defaultRowHeight="14.4"/>
  <cols>
    <col min="1" max="1" width="23.44140625" bestFit="1" customWidth="1"/>
    <col min="2" max="2" width="20.21875" bestFit="1" customWidth="1"/>
    <col min="3" max="3" width="33.77734375" bestFit="1" customWidth="1"/>
    <col min="4" max="4" width="13.77734375" customWidth="1"/>
    <col min="5" max="5" width="14.5546875" customWidth="1"/>
    <col min="6" max="6" width="25.77734375" customWidth="1"/>
  </cols>
  <sheetData>
    <row r="1" spans="1:6" ht="46.8" customHeight="1">
      <c r="A1" s="12" t="s">
        <v>64</v>
      </c>
      <c r="B1" s="12"/>
      <c r="C1" s="12"/>
      <c r="D1" s="12"/>
      <c r="E1" s="12"/>
      <c r="F1" s="12"/>
    </row>
    <row r="2" spans="1:6">
      <c r="A2" s="11" t="s">
        <v>61</v>
      </c>
      <c r="B2" s="11"/>
      <c r="C2" s="11" t="s">
        <v>62</v>
      </c>
      <c r="D2" s="11"/>
      <c r="E2" s="11" t="s">
        <v>63</v>
      </c>
      <c r="F2" s="11"/>
    </row>
    <row r="3" spans="1:6">
      <c r="A3" s="11"/>
      <c r="B3" s="11"/>
      <c r="C3" s="11"/>
      <c r="D3" s="11"/>
      <c r="E3" s="11"/>
      <c r="F3" s="11"/>
    </row>
    <row r="5" spans="1:6">
      <c r="A5" t="s">
        <v>0</v>
      </c>
      <c r="B5" t="s">
        <v>1</v>
      </c>
      <c r="C5" t="s">
        <v>3</v>
      </c>
      <c r="D5" t="s">
        <v>6</v>
      </c>
      <c r="E5" t="s">
        <v>60</v>
      </c>
      <c r="F5" t="s">
        <v>24</v>
      </c>
    </row>
    <row r="6" spans="1:6">
      <c r="A6" t="str">
        <f>AR_Invoice_Master!A2</f>
        <v>INV-2026-001</v>
      </c>
      <c r="B6" t="str">
        <f>AR_Invoice_Master!B2</f>
        <v>Apex Global Consulting</v>
      </c>
      <c r="C6" s="3">
        <f>AR_Invoice_Master!D2</f>
        <v>46248</v>
      </c>
      <c r="D6">
        <f>AR_Invoice_Master!G2</f>
        <v>0</v>
      </c>
      <c r="E6">
        <f ca="1">IF(D6=0, 0, MAX(0, TODAY() - C6))</f>
        <v>0</v>
      </c>
      <c r="F6" t="str" cm="1">
        <f t="array" aca="1" ref="F6" ca="1">_xlfn.IFS(D6=0, "PAID IN FULL", E6=0, "Current (Not Overdue)", E6&lt;=30, "1–30 Days Overdue", E6&lt;=60, "31–60 Days Overdue", E6&lt;=90, "61–90 Days Overdue", TRUE, "90+ Days Overdue")</f>
        <v>PAID IN FULL</v>
      </c>
    </row>
    <row r="7" spans="1:6">
      <c r="A7" t="str">
        <f>AR_Invoice_Master!A3</f>
        <v>INV-2026-002</v>
      </c>
      <c r="B7" t="str">
        <f>AR_Invoice_Master!B3</f>
        <v>Nexus Tech Solutions</v>
      </c>
      <c r="C7" s="3">
        <f>AR_Invoice_Master!D3</f>
        <v>46265</v>
      </c>
      <c r="D7">
        <f>AR_Invoice_Master!G3</f>
        <v>17000</v>
      </c>
      <c r="E7">
        <f t="shared" ref="E7:E11" ca="1" si="0">IF(D7=0, 0, MAX(0, TODAY() - C7))</f>
        <v>35</v>
      </c>
      <c r="F7" t="str" cm="1">
        <f t="array" aca="1" ref="F7" ca="1">_xlfn.IFS(D7=0, "PAID IN FULL", E7=0, "Current (Not Overdue)", E7&lt;=30, "1–30 Days Overdue", E7&lt;=60, "31–60 Days Overdue", E7&lt;=90, "61–90 Days Overdue", TRUE, "90+ Days Overdue")</f>
        <v>31–60 Days Overdue</v>
      </c>
    </row>
    <row r="8" spans="1:6">
      <c r="A8" t="str">
        <f>AR_Invoice_Master!A4</f>
        <v>INV-2026-003</v>
      </c>
      <c r="B8" t="str">
        <f>AR_Invoice_Master!B4</f>
        <v>Quantum Logistics</v>
      </c>
      <c r="C8" s="3">
        <f>AR_Invoice_Master!D4</f>
        <v>46284</v>
      </c>
      <c r="D8">
        <f>AR_Invoice_Master!G4</f>
        <v>18500</v>
      </c>
      <c r="E8">
        <f t="shared" ca="1" si="0"/>
        <v>16</v>
      </c>
      <c r="F8" t="str" cm="1">
        <f t="array" aca="1" ref="F8" ca="1">_xlfn.IFS(D8=0, "PAID IN FULL", E8=0, "Current (Not Overdue)", E8&lt;=30, "1–30 Days Overdue", E8&lt;=60, "31–60 Days Overdue", E8&lt;=90, "61–90 Days Overdue", TRUE, "90+ Days Overdue")</f>
        <v>1–30 Days Overdue</v>
      </c>
    </row>
    <row r="9" spans="1:6">
      <c r="A9" t="str">
        <f>AR_Invoice_Master!A5</f>
        <v>INV-2026-004</v>
      </c>
      <c r="B9" t="str">
        <f>AR_Invoice_Master!B5</f>
        <v>Horizon Healthcare</v>
      </c>
      <c r="C9" s="3">
        <f>AR_Invoice_Master!D5</f>
        <v>46296</v>
      </c>
      <c r="D9">
        <f>AR_Invoice_Master!G5</f>
        <v>34000</v>
      </c>
      <c r="E9">
        <f t="shared" ca="1" si="0"/>
        <v>4</v>
      </c>
      <c r="F9" t="str" cm="1">
        <f t="array" aca="1" ref="F9" ca="1">_xlfn.IFS(D9=0, "PAID IN FULL", E9=0, "Current (Not Overdue)", E9&lt;=30, "1–30 Days Overdue", E9&lt;=60, "31–60 Days Overdue", E9&lt;=90, "61–90 Days Overdue", TRUE, "90+ Days Overdue")</f>
        <v>1–30 Days Overdue</v>
      </c>
    </row>
    <row r="10" spans="1:6">
      <c r="A10" t="str">
        <f>AR_Invoice_Master!A6</f>
        <v>INV-2026-005</v>
      </c>
      <c r="B10" t="str">
        <f>AR_Invoice_Master!B6</f>
        <v>Stellar Retail Group</v>
      </c>
      <c r="C10" s="3">
        <f>AR_Invoice_Master!D6</f>
        <v>46310</v>
      </c>
      <c r="D10">
        <f>AR_Invoice_Master!G6</f>
        <v>12500</v>
      </c>
      <c r="E10">
        <f t="shared" ca="1" si="0"/>
        <v>0</v>
      </c>
      <c r="F10" t="str" cm="1">
        <f t="array" aca="1" ref="F10" ca="1">_xlfn.IFS(D10=0, "PAID IN FULL", E10=0, "Current (Not Overdue)", E10&lt;=30, "1–30 Days Overdue", E10&lt;=60, "31–60 Days Overdue", E10&lt;=90, "61–90 Days Overdue", TRUE, "90+ Days Overdue")</f>
        <v>Current (Not Overdue)</v>
      </c>
    </row>
    <row r="11" spans="1:6">
      <c r="A11" t="str">
        <f>AR_Invoice_Master!A7</f>
        <v>INV-2026-006</v>
      </c>
      <c r="B11" t="str">
        <f>AR_Invoice_Master!B7</f>
        <v>Apex Global Consulting</v>
      </c>
      <c r="C11" s="3">
        <f>AR_Invoice_Master!D7</f>
        <v>46182</v>
      </c>
      <c r="D11">
        <f>AR_Invoice_Master!G7</f>
        <v>28000</v>
      </c>
      <c r="E11">
        <f t="shared" ca="1" si="0"/>
        <v>118</v>
      </c>
      <c r="F11" t="str" cm="1">
        <f t="array" aca="1" ref="F11" ca="1">_xlfn.IFS(D11=0, "PAID IN FULL", E11=0, "Current (Not Overdue)", E11&lt;=30, "1–30 Days Overdue", E11&lt;=60, "31–60 Days Overdue", E11&lt;=90, "61–90 Days Overdue", TRUE, "90+ Days Overdue")</f>
        <v>90+ Days Overdue</v>
      </c>
    </row>
  </sheetData>
  <mergeCells count="4">
    <mergeCell ref="A2:B3"/>
    <mergeCell ref="C2:D3"/>
    <mergeCell ref="E2:F3"/>
    <mergeCell ref="A1:F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78DA0-3607-4BE6-99F8-D99F451326FD}">
  <dimension ref="A1:K72"/>
  <sheetViews>
    <sheetView workbookViewId="0">
      <selection activeCell="A9" sqref="A9:G15"/>
    </sheetView>
  </sheetViews>
  <sheetFormatPr defaultRowHeight="14.4"/>
  <cols>
    <col min="1" max="1" width="18.77734375" bestFit="1" customWidth="1"/>
    <col min="2" max="3" width="19.44140625" bestFit="1" customWidth="1"/>
    <col min="4" max="4" width="17.33203125" bestFit="1" customWidth="1"/>
    <col min="5" max="5" width="18.44140625" customWidth="1"/>
    <col min="6" max="6" width="21.33203125" customWidth="1"/>
    <col min="7" max="7" width="19" bestFit="1" customWidth="1"/>
    <col min="9" max="9" width="13.5546875" bestFit="1" customWidth="1"/>
    <col min="10" max="10" width="18.77734375" bestFit="1" customWidth="1"/>
  </cols>
  <sheetData>
    <row r="1" spans="1:7" ht="21" customHeight="1">
      <c r="A1" s="4" t="s">
        <v>18</v>
      </c>
      <c r="B1" s="4"/>
    </row>
    <row r="2" spans="1:7">
      <c r="A2" t="s">
        <v>19</v>
      </c>
      <c r="B2">
        <v>0.95</v>
      </c>
    </row>
    <row r="3" spans="1:7">
      <c r="A3" t="s">
        <v>20</v>
      </c>
      <c r="B3" s="2">
        <v>0.8</v>
      </c>
    </row>
    <row r="4" spans="1:7">
      <c r="A4" t="s">
        <v>21</v>
      </c>
      <c r="B4" s="2">
        <v>0.6</v>
      </c>
    </row>
    <row r="5" spans="1:7">
      <c r="A5" t="s">
        <v>22</v>
      </c>
      <c r="B5" s="2">
        <v>0.3</v>
      </c>
    </row>
    <row r="6" spans="1:7">
      <c r="A6" t="s">
        <v>23</v>
      </c>
      <c r="B6" s="2">
        <v>0.1</v>
      </c>
    </row>
    <row r="9" spans="1:7">
      <c r="A9" t="s">
        <v>0</v>
      </c>
      <c r="B9" t="s">
        <v>1</v>
      </c>
      <c r="C9" t="s">
        <v>6</v>
      </c>
      <c r="D9" t="s">
        <v>24</v>
      </c>
      <c r="E9" t="s">
        <v>25</v>
      </c>
      <c r="F9" t="s">
        <v>26</v>
      </c>
      <c r="G9" t="s">
        <v>27</v>
      </c>
    </row>
    <row r="10" spans="1:7">
      <c r="A10" t="str">
        <f>AR_Invoice_Master!A2</f>
        <v>INV-2026-001</v>
      </c>
      <c r="B10" t="str">
        <f>AR_Invoice_Master!B2</f>
        <v>Apex Global Consulting</v>
      </c>
      <c r="C10">
        <f>AR_Invoice_Master!G2</f>
        <v>0</v>
      </c>
      <c r="D10" t="str">
        <f ca="1">Aging_Analysis!F6</f>
        <v>PAID IN FULL</v>
      </c>
      <c r="E10" s="13">
        <f ca="1">IF(D10="PAID IN FULL", 1, _xlfn.XLOOKUP(D10, $A$2:$A$6, $B$2:$B$6, 0))</f>
        <v>1</v>
      </c>
      <c r="F10">
        <f ca="1">C10 * E10</f>
        <v>0</v>
      </c>
      <c r="G10" t="s">
        <v>28</v>
      </c>
    </row>
    <row r="11" spans="1:7">
      <c r="A11" t="str">
        <f>AR_Invoice_Master!A3</f>
        <v>INV-2026-002</v>
      </c>
      <c r="B11" t="str">
        <f>AR_Invoice_Master!B3</f>
        <v>Nexus Tech Solutions</v>
      </c>
      <c r="C11">
        <f>AR_Invoice_Master!G3</f>
        <v>17000</v>
      </c>
      <c r="D11" t="str">
        <f ca="1">Aging_Analysis!F7</f>
        <v>31–60 Days Overdue</v>
      </c>
      <c r="E11" s="13">
        <f t="shared" ref="E11:E15" ca="1" si="0">IF(D11="PAID IN FULL", 1, _xlfn.XLOOKUP(D11, $A$2:$A$6, $B$2:$B$6, 0))</f>
        <v>0.6</v>
      </c>
      <c r="F11">
        <f t="shared" ref="F11:F15" ca="1" si="1">C11 * E11</f>
        <v>10200</v>
      </c>
      <c r="G11" t="s">
        <v>29</v>
      </c>
    </row>
    <row r="12" spans="1:7">
      <c r="A12" t="str">
        <f>AR_Invoice_Master!A4</f>
        <v>INV-2026-003</v>
      </c>
      <c r="B12" t="str">
        <f>AR_Invoice_Master!B4</f>
        <v>Quantum Logistics</v>
      </c>
      <c r="C12">
        <f>AR_Invoice_Master!G4</f>
        <v>18500</v>
      </c>
      <c r="D12" t="str">
        <f ca="1">Aging_Analysis!F8</f>
        <v>1–30 Days Overdue</v>
      </c>
      <c r="E12" s="13">
        <f t="shared" ca="1" si="0"/>
        <v>0.8</v>
      </c>
      <c r="F12">
        <f t="shared" ca="1" si="1"/>
        <v>14800</v>
      </c>
      <c r="G12" t="s">
        <v>30</v>
      </c>
    </row>
    <row r="13" spans="1:7">
      <c r="A13" t="str">
        <f>AR_Invoice_Master!A5</f>
        <v>INV-2026-004</v>
      </c>
      <c r="B13" t="str">
        <f>AR_Invoice_Master!B5</f>
        <v>Horizon Healthcare</v>
      </c>
      <c r="C13">
        <f>AR_Invoice_Master!G5</f>
        <v>34000</v>
      </c>
      <c r="D13" t="str">
        <f ca="1">Aging_Analysis!F9</f>
        <v>1–30 Days Overdue</v>
      </c>
      <c r="E13" s="13">
        <f t="shared" ca="1" si="0"/>
        <v>0.8</v>
      </c>
      <c r="F13">
        <f t="shared" ca="1" si="1"/>
        <v>27200</v>
      </c>
      <c r="G13" t="s">
        <v>31</v>
      </c>
    </row>
    <row r="14" spans="1:7">
      <c r="A14" t="str">
        <f>AR_Invoice_Master!A6</f>
        <v>INV-2026-005</v>
      </c>
      <c r="B14" t="str">
        <f>AR_Invoice_Master!B6</f>
        <v>Stellar Retail Group</v>
      </c>
      <c r="C14">
        <f>AR_Invoice_Master!G6</f>
        <v>12500</v>
      </c>
      <c r="D14" t="str">
        <f ca="1">Aging_Analysis!F10</f>
        <v>Current (Not Overdue)</v>
      </c>
      <c r="E14" s="13">
        <f t="shared" ca="1" si="0"/>
        <v>0.95</v>
      </c>
      <c r="F14">
        <f t="shared" ca="1" si="1"/>
        <v>11875</v>
      </c>
      <c r="G14" t="s">
        <v>32</v>
      </c>
    </row>
    <row r="15" spans="1:7">
      <c r="A15" t="str">
        <f>AR_Invoice_Master!A7</f>
        <v>INV-2026-006</v>
      </c>
      <c r="B15" t="str">
        <f>AR_Invoice_Master!B7</f>
        <v>Apex Global Consulting</v>
      </c>
      <c r="C15">
        <f>AR_Invoice_Master!G7</f>
        <v>28000</v>
      </c>
      <c r="D15" t="str">
        <f ca="1">Aging_Analysis!F11</f>
        <v>90+ Days Overdue</v>
      </c>
      <c r="E15" s="13">
        <f t="shared" ca="1" si="0"/>
        <v>0.1</v>
      </c>
      <c r="F15">
        <f t="shared" ca="1" si="1"/>
        <v>2800</v>
      </c>
      <c r="G15" t="s">
        <v>33</v>
      </c>
    </row>
    <row r="59" spans="2:11">
      <c r="B59" t="s">
        <v>0</v>
      </c>
      <c r="C59" t="s">
        <v>1</v>
      </c>
      <c r="D59" t="s">
        <v>6</v>
      </c>
      <c r="E59" t="s">
        <v>24</v>
      </c>
      <c r="F59" t="s">
        <v>25</v>
      </c>
      <c r="G59" t="s">
        <v>26</v>
      </c>
      <c r="H59" t="s">
        <v>27</v>
      </c>
      <c r="J59" t="s">
        <v>35</v>
      </c>
      <c r="K59" t="s">
        <v>42</v>
      </c>
    </row>
    <row r="60" spans="2:11">
      <c r="B60" t="str">
        <f>AR_Invoice_Master!A2</f>
        <v>INV-2026-001</v>
      </c>
      <c r="C60" t="str">
        <f>AR_Invoice_Master!B2</f>
        <v>Apex Global Consulting</v>
      </c>
      <c r="D60">
        <f>AR_Invoice_Master!G2</f>
        <v>0</v>
      </c>
      <c r="E60" t="str">
        <f ca="1">Aging_Analysis!F6</f>
        <v>PAID IN FULL</v>
      </c>
      <c r="F60">
        <f ca="1">IFERROR(VLOOKUP(E60, $A$2:$B$6, 2, FALSE), 0)</f>
        <v>0</v>
      </c>
      <c r="G60" s="5">
        <f ca="1">D60 * F60</f>
        <v>0</v>
      </c>
      <c r="H60" t="s">
        <v>28</v>
      </c>
      <c r="J60" t="s">
        <v>28</v>
      </c>
      <c r="K60">
        <f ca="1">SUMIF($H$60:$H$65, J60, $G$60:$G$65)</f>
        <v>0</v>
      </c>
    </row>
    <row r="61" spans="2:11">
      <c r="B61" t="str">
        <f>AR_Invoice_Master!A3</f>
        <v>INV-2026-002</v>
      </c>
      <c r="H61" t="s">
        <v>29</v>
      </c>
      <c r="J61" t="s">
        <v>29</v>
      </c>
      <c r="K61">
        <f>SUMIF($H$60:$H$65, J61, $G$60:$G$65)</f>
        <v>0</v>
      </c>
    </row>
    <row r="62" spans="2:11">
      <c r="B62" t="str">
        <f>AR_Invoice_Master!A4</f>
        <v>INV-2026-003</v>
      </c>
      <c r="H62" t="s">
        <v>28</v>
      </c>
      <c r="J62" t="s">
        <v>30</v>
      </c>
      <c r="K62">
        <f>SUMIF($H$60:$H$65, J62, $G$60:$G$65)</f>
        <v>0</v>
      </c>
    </row>
    <row r="63" spans="2:11">
      <c r="B63" t="str">
        <f>AR_Invoice_Master!A5</f>
        <v>INV-2026-004</v>
      </c>
      <c r="H63" t="s">
        <v>30</v>
      </c>
      <c r="J63" t="s">
        <v>31</v>
      </c>
      <c r="K63">
        <f>SUMIF($H$60:$H$65, J63, $G$60:$G$65)</f>
        <v>0</v>
      </c>
    </row>
    <row r="64" spans="2:11">
      <c r="B64" t="str">
        <f>AR_Invoice_Master!A6</f>
        <v>INV-2026-005</v>
      </c>
      <c r="H64" t="s">
        <v>31</v>
      </c>
      <c r="J64" t="s">
        <v>32</v>
      </c>
      <c r="K64">
        <f>SUMIF($H$60:$H$65, J64, $G$60:$G$65)</f>
        <v>0</v>
      </c>
    </row>
    <row r="65" spans="2:11">
      <c r="B65" t="str">
        <f>AR_Invoice_Master!A7</f>
        <v>INV-2026-006</v>
      </c>
      <c r="H65" t="s">
        <v>29</v>
      </c>
      <c r="J65" t="s">
        <v>33</v>
      </c>
      <c r="K65">
        <f>SUMIF($H$60:$H$65, J65, $G$60:$G$65)</f>
        <v>0</v>
      </c>
    </row>
    <row r="66" spans="2:11">
      <c r="J66" t="s">
        <v>34</v>
      </c>
      <c r="K66">
        <f>SUMIF($H$60:$H$65, J66, $G$60:$G$65)</f>
        <v>0</v>
      </c>
    </row>
    <row r="67" spans="2:11">
      <c r="J67" t="s">
        <v>36</v>
      </c>
      <c r="K67">
        <f>SUMIF($H$60:$H$65, J67, $G$60:$G$65)</f>
        <v>0</v>
      </c>
    </row>
    <row r="68" spans="2:11">
      <c r="J68" t="s">
        <v>37</v>
      </c>
      <c r="K68">
        <f>SUMIF($H$60:$H$65, J68, $G$60:$G$65)</f>
        <v>0</v>
      </c>
    </row>
    <row r="69" spans="2:11">
      <c r="J69" t="s">
        <v>38</v>
      </c>
      <c r="K69">
        <f>SUMIF($H$60:$H$65, J69, $G$60:$G$65)</f>
        <v>0</v>
      </c>
    </row>
    <row r="70" spans="2:11">
      <c r="J70" t="s">
        <v>39</v>
      </c>
      <c r="K70">
        <f>SUMIF($H$60:$H$65, J70, $G$60:$G$65)</f>
        <v>0</v>
      </c>
    </row>
    <row r="71" spans="2:11">
      <c r="J71" t="s">
        <v>40</v>
      </c>
      <c r="K71">
        <f>SUMIF($H$60:$H$65, J71, $G$60:$G$65)</f>
        <v>0</v>
      </c>
    </row>
    <row r="72" spans="2:11">
      <c r="J72" t="s">
        <v>41</v>
      </c>
      <c r="K72">
        <f>SUMIF($H$60:$H$65, J72, $G$60:$G$65)</f>
        <v>0</v>
      </c>
    </row>
  </sheetData>
  <mergeCells count="1">
    <mergeCell ref="A1:B1"/>
  </mergeCells>
  <phoneticPr fontId="5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78725-62A7-4725-B9B6-F2043DBA9112}">
  <dimension ref="A1:B15"/>
  <sheetViews>
    <sheetView topLeftCell="A2" zoomScale="85" workbookViewId="0">
      <selection activeCell="B14" sqref="B14"/>
    </sheetView>
  </sheetViews>
  <sheetFormatPr defaultRowHeight="14.4"/>
  <cols>
    <col min="1" max="1" width="40.44140625" bestFit="1" customWidth="1"/>
    <col min="2" max="2" width="125.21875" bestFit="1" customWidth="1"/>
    <col min="3" max="4" width="11.33203125" bestFit="1" customWidth="1"/>
    <col min="5" max="5" width="13.77734375" bestFit="1" customWidth="1"/>
    <col min="6" max="7" width="11.5546875" bestFit="1" customWidth="1"/>
  </cols>
  <sheetData>
    <row r="1" spans="1:2" ht="48" customHeight="1">
      <c r="A1" s="9" t="s">
        <v>43</v>
      </c>
      <c r="B1" s="9"/>
    </row>
    <row r="2" spans="1:2" ht="100.8">
      <c r="A2" s="8" t="s">
        <v>44</v>
      </c>
      <c r="B2" s="6" t="s">
        <v>45</v>
      </c>
    </row>
    <row r="4" spans="1:2" ht="28.8">
      <c r="A4" s="7" t="s">
        <v>46</v>
      </c>
    </row>
    <row r="5" spans="1:2">
      <c r="A5" t="s">
        <v>47</v>
      </c>
      <c r="B5">
        <f>SUM(AR_Invoice_Master!G2:G7)</f>
        <v>110000</v>
      </c>
    </row>
    <row r="6" spans="1:2">
      <c r="A6" t="s">
        <v>48</v>
      </c>
      <c r="B6">
        <f>Aging_Analysis!J31</f>
        <v>0</v>
      </c>
    </row>
    <row r="7" spans="1:2">
      <c r="A7" t="s">
        <v>49</v>
      </c>
      <c r="B7">
        <f>Aging_Analysis!K31</f>
        <v>0</v>
      </c>
    </row>
    <row r="8" spans="1:2">
      <c r="A8" t="s">
        <v>50</v>
      </c>
      <c r="B8" s="5">
        <f ca="1">SUM(Cash_Flow_Forecaster!G60:G65)</f>
        <v>0</v>
      </c>
    </row>
    <row r="10" spans="1:2" ht="45" customHeight="1">
      <c r="A10" s="8" t="s">
        <v>51</v>
      </c>
    </row>
    <row r="11" spans="1:2">
      <c r="A11" t="s">
        <v>52</v>
      </c>
      <c r="B11" s="10" t="s">
        <v>57</v>
      </c>
    </row>
    <row r="12" spans="1:2">
      <c r="A12" t="s">
        <v>53</v>
      </c>
      <c r="B12" s="10" t="s">
        <v>58</v>
      </c>
    </row>
    <row r="13" spans="1:2">
      <c r="A13" t="s">
        <v>54</v>
      </c>
      <c r="B13" s="10" t="s">
        <v>59</v>
      </c>
    </row>
    <row r="15" spans="1:2" ht="115.2">
      <c r="A15" s="8" t="s">
        <v>55</v>
      </c>
      <c r="B15" s="6" t="s">
        <v>56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AR_Invoice_Master</vt:lpstr>
      <vt:lpstr>Aging_Analysis</vt:lpstr>
      <vt:lpstr>Cash_Flow_Forecaster</vt:lpstr>
      <vt:lpstr>Documentation_Setup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 Anish</dc:creator>
  <cp:lastModifiedBy>Anish Anish</cp:lastModifiedBy>
  <dcterms:created xsi:type="dcterms:W3CDTF">2026-10-04T23:01:27Z</dcterms:created>
  <dcterms:modified xsi:type="dcterms:W3CDTF">2026-10-05T01:13:10Z</dcterms:modified>
</cp:coreProperties>
</file>